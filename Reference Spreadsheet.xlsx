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jones33/Desktop/aNMJ-morph DataShare/"/>
    </mc:Choice>
  </mc:AlternateContent>
  <xr:revisionPtr revIDLastSave="0" documentId="13_ncr:1_{396CACFD-2B28-204B-9F8A-F574962AA4D4}" xr6:coauthVersionLast="36" xr6:coauthVersionMax="36" xr10:uidLastSave="{00000000-0000-0000-0000-000000000000}"/>
  <bookViews>
    <workbookView xWindow="0" yWindow="460" windowWidth="37580" windowHeight="16900" tabRatio="500" xr2:uid="{00000000-000D-0000-FFFF-FFFF00000000}"/>
  </bookViews>
  <sheets>
    <sheet name="Sheet1" sheetId="1" r:id="rId1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" i="1" l="1"/>
  <c r="N4" i="1"/>
  <c r="O4" i="1"/>
  <c r="P4" i="1" s="1"/>
  <c r="W4" i="1"/>
  <c r="Y4" i="1"/>
  <c r="Z4" i="1"/>
  <c r="AB4" i="1"/>
  <c r="AC4" i="1"/>
  <c r="M5" i="1"/>
  <c r="N5" i="1"/>
  <c r="O5" i="1"/>
  <c r="P5" i="1" s="1"/>
  <c r="W5" i="1"/>
  <c r="Y5" i="1"/>
  <c r="Z5" i="1"/>
  <c r="AB5" i="1"/>
  <c r="AC5" i="1"/>
  <c r="M6" i="1"/>
  <c r="Q6" i="1" s="1"/>
  <c r="N6" i="1"/>
  <c r="O6" i="1"/>
  <c r="P6" i="1" s="1"/>
  <c r="W6" i="1"/>
  <c r="Y6" i="1"/>
  <c r="Z6" i="1"/>
  <c r="AB6" i="1"/>
  <c r="AC6" i="1"/>
  <c r="M7" i="1"/>
  <c r="Q7" i="1" s="1"/>
  <c r="N7" i="1"/>
  <c r="O7" i="1"/>
  <c r="P7" i="1" s="1"/>
  <c r="W7" i="1"/>
  <c r="Y7" i="1"/>
  <c r="Z7" i="1"/>
  <c r="AB7" i="1"/>
  <c r="AC7" i="1"/>
  <c r="M8" i="1"/>
  <c r="N8" i="1"/>
  <c r="O8" i="1"/>
  <c r="W8" i="1"/>
  <c r="Y8" i="1"/>
  <c r="Z8" i="1"/>
  <c r="AB8" i="1"/>
  <c r="AC8" i="1"/>
  <c r="M9" i="1"/>
  <c r="Q9" i="1" s="1"/>
  <c r="N9" i="1"/>
  <c r="O9" i="1"/>
  <c r="P9" i="1" s="1"/>
  <c r="W9" i="1"/>
  <c r="Y9" i="1"/>
  <c r="Z9" i="1"/>
  <c r="AB9" i="1"/>
  <c r="AC9" i="1"/>
  <c r="M10" i="1"/>
  <c r="N10" i="1"/>
  <c r="O10" i="1"/>
  <c r="Q10" i="1" s="1"/>
  <c r="W10" i="1"/>
  <c r="Y10" i="1"/>
  <c r="Z10" i="1"/>
  <c r="AB10" i="1"/>
  <c r="AC10" i="1"/>
  <c r="M11" i="1"/>
  <c r="N11" i="1"/>
  <c r="O11" i="1"/>
  <c r="P11" i="1" s="1"/>
  <c r="Q11" i="1"/>
  <c r="W11" i="1"/>
  <c r="Y11" i="1"/>
  <c r="Z11" i="1"/>
  <c r="AB11" i="1"/>
  <c r="AC11" i="1"/>
  <c r="M12" i="1"/>
  <c r="N12" i="1"/>
  <c r="O12" i="1"/>
  <c r="Q12" i="1" s="1"/>
  <c r="W12" i="1"/>
  <c r="Y12" i="1"/>
  <c r="Z12" i="1"/>
  <c r="AB12" i="1"/>
  <c r="AC12" i="1"/>
  <c r="M13" i="1"/>
  <c r="Q13" i="1" s="1"/>
  <c r="N13" i="1"/>
  <c r="O13" i="1"/>
  <c r="P13" i="1" s="1"/>
  <c r="W13" i="1"/>
  <c r="Y13" i="1"/>
  <c r="Z13" i="1"/>
  <c r="AB13" i="1"/>
  <c r="AC13" i="1"/>
  <c r="M14" i="1"/>
  <c r="N14" i="1"/>
  <c r="O14" i="1"/>
  <c r="W14" i="1"/>
  <c r="Y14" i="1"/>
  <c r="Z14" i="1"/>
  <c r="AB14" i="1"/>
  <c r="AC14" i="1"/>
  <c r="M15" i="1"/>
  <c r="Q15" i="1" s="1"/>
  <c r="N15" i="1"/>
  <c r="O15" i="1"/>
  <c r="P15" i="1" s="1"/>
  <c r="W15" i="1"/>
  <c r="Y15" i="1"/>
  <c r="Z15" i="1"/>
  <c r="AB15" i="1"/>
  <c r="AC15" i="1"/>
  <c r="M16" i="1"/>
  <c r="N16" i="1"/>
  <c r="O16" i="1"/>
  <c r="Q16" i="1" s="1"/>
  <c r="W16" i="1"/>
  <c r="Y16" i="1"/>
  <c r="Z16" i="1"/>
  <c r="AB16" i="1"/>
  <c r="AC16" i="1"/>
  <c r="M17" i="1"/>
  <c r="Q17" i="1" s="1"/>
  <c r="N17" i="1"/>
  <c r="O17" i="1"/>
  <c r="P17" i="1" s="1"/>
  <c r="W17" i="1"/>
  <c r="Y17" i="1"/>
  <c r="Z17" i="1"/>
  <c r="AB17" i="1"/>
  <c r="AC17" i="1"/>
  <c r="M18" i="1"/>
  <c r="N18" i="1"/>
  <c r="O18" i="1"/>
  <c r="Q18" i="1" s="1"/>
  <c r="W18" i="1"/>
  <c r="Y18" i="1"/>
  <c r="Z18" i="1"/>
  <c r="AB18" i="1"/>
  <c r="AC18" i="1"/>
  <c r="M19" i="1"/>
  <c r="N19" i="1"/>
  <c r="O19" i="1"/>
  <c r="P19" i="1" s="1"/>
  <c r="Q19" i="1"/>
  <c r="W19" i="1"/>
  <c r="Y19" i="1"/>
  <c r="Z19" i="1"/>
  <c r="AB19" i="1"/>
  <c r="AC19" i="1"/>
  <c r="M20" i="1"/>
  <c r="N20" i="1"/>
  <c r="O20" i="1"/>
  <c r="Q20" i="1" s="1"/>
  <c r="W20" i="1"/>
  <c r="Y20" i="1"/>
  <c r="Z20" i="1"/>
  <c r="AB20" i="1"/>
  <c r="AC20" i="1"/>
  <c r="M21" i="1"/>
  <c r="N21" i="1"/>
  <c r="O21" i="1"/>
  <c r="P21" i="1" s="1"/>
  <c r="W21" i="1"/>
  <c r="Y21" i="1"/>
  <c r="Z21" i="1"/>
  <c r="AB21" i="1"/>
  <c r="AC21" i="1"/>
  <c r="M22" i="1"/>
  <c r="N22" i="1"/>
  <c r="O22" i="1"/>
  <c r="Q22" i="1" s="1"/>
  <c r="W22" i="1"/>
  <c r="Y22" i="1"/>
  <c r="Z22" i="1"/>
  <c r="AB22" i="1"/>
  <c r="AC22" i="1"/>
  <c r="AC3" i="1"/>
  <c r="AB3" i="1"/>
  <c r="Y3" i="1"/>
  <c r="Z3" i="1"/>
  <c r="W3" i="1"/>
  <c r="O3" i="1"/>
  <c r="P3" i="1" s="1"/>
  <c r="M3" i="1"/>
  <c r="Q3" i="1" s="1"/>
  <c r="N3" i="1"/>
  <c r="Q21" i="1" l="1"/>
  <c r="Q14" i="1"/>
  <c r="Q8" i="1"/>
  <c r="Q5" i="1"/>
  <c r="Q4" i="1"/>
  <c r="P22" i="1"/>
  <c r="P20" i="1"/>
  <c r="P18" i="1"/>
  <c r="P16" i="1"/>
  <c r="P14" i="1"/>
  <c r="P12" i="1"/>
  <c r="P10" i="1"/>
  <c r="P8" i="1"/>
</calcChain>
</file>

<file path=xl/sharedStrings.xml><?xml version="1.0" encoding="utf-8"?>
<sst xmlns="http://schemas.openxmlformats.org/spreadsheetml/2006/main" count="55" uniqueCount="36">
  <si>
    <t>Number of Axonal Inputs</t>
  </si>
  <si>
    <t>Number of Branch Points</t>
  </si>
  <si>
    <t>Branch analysis</t>
  </si>
  <si>
    <t>Value 4 (three-point branch pixels)</t>
  </si>
  <si>
    <t>Value 5 (four-point branch pixels)</t>
  </si>
  <si>
    <t>Value 0 (background white pixels)</t>
  </si>
  <si>
    <t>Value 2 (terminal pixels)</t>
  </si>
  <si>
    <t>Number of AChR Clusters</t>
  </si>
  <si>
    <t>NMJ</t>
  </si>
  <si>
    <t>THRESHOLD</t>
  </si>
  <si>
    <t>Number of pixels (eg, 512 x 512)</t>
  </si>
  <si>
    <t>Metric (eg, 67.48 x 67.48μm)</t>
  </si>
  <si>
    <t>Ref number</t>
  </si>
  <si>
    <t>PRE-SYNAPTIC</t>
  </si>
  <si>
    <t>Axon Diameter (μm)</t>
  </si>
  <si>
    <t>Nerve Terminal Perimeter (μm)</t>
  </si>
  <si>
    <r>
      <t xml:space="preserve">IMAGE DETAILS </t>
    </r>
    <r>
      <rPr>
        <sz val="12"/>
        <color theme="1"/>
        <rFont val="Calibri"/>
        <family val="2"/>
        <scheme val="minor"/>
      </rPr>
      <t>(frame size)</t>
    </r>
  </si>
  <si>
    <r>
      <t>Nerve Terminal Area (μm</t>
    </r>
    <r>
      <rPr>
        <b/>
        <vertAlign val="superscript"/>
        <sz val="12"/>
        <color rgb="FFFF0000"/>
        <rFont val="Calibri"/>
        <scheme val="minor"/>
      </rPr>
      <t>2</t>
    </r>
    <r>
      <rPr>
        <b/>
        <sz val="12"/>
        <color rgb="FFFF0000"/>
        <rFont val="Calibri"/>
        <scheme val="minor"/>
      </rPr>
      <t>)</t>
    </r>
  </si>
  <si>
    <r>
      <t>Unoccupied AChR Area (μm</t>
    </r>
    <r>
      <rPr>
        <vertAlign val="superscript"/>
        <sz val="12"/>
        <color theme="1"/>
        <rFont val="Calibri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</si>
  <si>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r>
      <t>(</t>
    </r>
    <r>
      <rPr>
        <b/>
        <sz val="12"/>
        <color theme="1"/>
        <rFont val="Calibri"/>
        <family val="2"/>
        <scheme val="minor"/>
      </rPr>
      <t>H</t>
    </r>
    <r>
      <rPr>
        <sz val="12"/>
        <color theme="1"/>
        <rFont val="Calibri"/>
        <family val="2"/>
        <scheme val="minor"/>
      </rPr>
      <t>uang/</t>
    </r>
    <r>
      <rPr>
        <b/>
        <sz val="12"/>
        <color theme="1"/>
        <rFont val="Calibri"/>
        <family val="2"/>
        <scheme val="minor"/>
      </rPr>
      <t>Y</t>
    </r>
    <r>
      <rPr>
        <sz val="12"/>
        <color theme="1"/>
        <rFont val="Calibri"/>
        <family val="2"/>
        <scheme val="minor"/>
      </rPr>
      <t>en/</t>
    </r>
    <r>
      <rPr>
        <b/>
        <sz val="12"/>
        <color theme="1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>anual)</t>
    </r>
  </si>
  <si>
    <t>Number of Terminal Branches</t>
  </si>
  <si>
    <t>Total Length of Branches (μm)</t>
  </si>
  <si>
    <t>Average Length of Branches (μm)</t>
  </si>
  <si>
    <t>POST-SYNAPTIC</t>
  </si>
  <si>
    <t>AChR Perimeter (μm)</t>
  </si>
  <si>
    <r>
      <t>AChR Area (μm</t>
    </r>
    <r>
      <rPr>
        <b/>
        <vertAlign val="superscript"/>
        <sz val="12"/>
        <color rgb="FFFF0000"/>
        <rFont val="Calibri"/>
        <scheme val="minor"/>
      </rPr>
      <t>2</t>
    </r>
    <r>
      <rPr>
        <b/>
        <sz val="12"/>
        <color rgb="FFFF0000"/>
        <rFont val="Calibri"/>
        <scheme val="minor"/>
      </rPr>
      <t>)</t>
    </r>
  </si>
  <si>
    <t>Endplate Diameter (μm)</t>
  </si>
  <si>
    <t>Endplate Perimeter (μm)</t>
  </si>
  <si>
    <r>
      <t>Endplate Area (μm</t>
    </r>
    <r>
      <rPr>
        <b/>
        <vertAlign val="superscript"/>
        <sz val="12"/>
        <color rgb="FFFF0000"/>
        <rFont val="Calibri"/>
        <scheme val="minor"/>
      </rPr>
      <t>2</t>
    </r>
    <r>
      <rPr>
        <b/>
        <sz val="12"/>
        <color rgb="FFFF0000"/>
        <rFont val="Calibri"/>
        <scheme val="minor"/>
      </rPr>
      <t>)</t>
    </r>
  </si>
  <si>
    <t xml:space="preserve">"Complexity" </t>
  </si>
  <si>
    <r>
      <t>"Area of Synaptic Contact" (μm</t>
    </r>
    <r>
      <rPr>
        <b/>
        <vertAlign val="superscript"/>
        <sz val="12"/>
        <color rgb="FF0000FF"/>
        <rFont val="Calibri"/>
        <scheme val="minor"/>
      </rPr>
      <t>2</t>
    </r>
    <r>
      <rPr>
        <b/>
        <sz val="12"/>
        <color rgb="FF0000FF"/>
        <rFont val="Calibri"/>
        <scheme val="minor"/>
      </rPr>
      <t>)</t>
    </r>
  </si>
  <si>
    <t>"Overlap" (%)</t>
  </si>
  <si>
    <r>
      <t>Average Area of AChR Clusters (μm</t>
    </r>
    <r>
      <rPr>
        <b/>
        <vertAlign val="superscript"/>
        <sz val="12"/>
        <color rgb="FF0000FF"/>
        <rFont val="Calibri"/>
        <scheme val="minor"/>
      </rPr>
      <t>2</t>
    </r>
    <r>
      <rPr>
        <b/>
        <sz val="12"/>
        <color rgb="FF0000FF"/>
        <rFont val="Calibri"/>
        <scheme val="minor"/>
      </rPr>
      <t>)</t>
    </r>
  </si>
  <si>
    <t>"Fragmentation"</t>
  </si>
  <si>
    <t>h</t>
  </si>
  <si>
    <t>"Compactness"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</si>
</sst>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8000"/>
      <name val="Calibri"/>
      <scheme val="minor"/>
    </font>
    <font>
      <b/>
      <sz val="12"/>
      <color rgb="FFFF0000"/>
      <name val="Calibri"/>
      <scheme val="minor"/>
    </font>
    <font>
      <b/>
      <vertAlign val="superscript"/>
      <sz val="12"/>
      <color rgb="FFFF0000"/>
      <name val="Calibri"/>
      <scheme val="minor"/>
    </font>
    <font>
      <b/>
      <sz val="12"/>
      <color rgb="FF0000FF"/>
      <name val="Calibri"/>
      <scheme val="minor"/>
    </font>
    <font>
      <vertAlign val="superscript"/>
      <sz val="12"/>
      <color theme="1"/>
      <name val="Calibri"/>
      <scheme val="minor"/>
    </font>
    <font>
      <b/>
      <vertAlign val="superscript"/>
      <sz val="12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</xf>
    <xf numFmtId="1" fontId="0" fillId="0" borderId="0" xfId="0" applyNumberFormat="1" applyFont="1" applyAlignment="1">
      <alignment vertical="center"/>
    </xf>
    <xf numFmtId="164" fontId="0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0" borderId="0" xfId="0" applyAlignment="1" applyProtection="1">
      <alignment horizontal="center" vertical="center"/>
    </xf>
    <xf numFmtId="164" fontId="0" fillId="0" borderId="0" xfId="0" applyNumberFormat="1" applyAlignment="1" applyProtection="1">
      <alignment vertical="center"/>
    </xf>
    <xf numFmtId="1" fontId="0" fillId="0" borderId="0" xfId="0" applyNumberFormat="1" applyAlignment="1" applyProtection="1">
      <alignment vertical="center"/>
    </xf>
    <xf numFmtId="0" fontId="0" fillId="2" borderId="0" xfId="0" applyFont="1" applyFill="1" applyBorder="1" applyAlignment="1">
      <alignment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"/>
  <sheetViews>
    <sheetView tabSelected="1" showRuler="0" workbookViewId="0">
      <selection activeCell="F25" sqref="F25"/>
    </sheetView>
  </sheetViews>
  <sheetFormatPr baseColWidth="10" defaultRowHeight="21" customHeight="1" x14ac:dyDescent="0.2"/>
  <cols>
    <col min="1" max="1" width="27.33203125" style="8" customWidth="1"/>
    <col min="2" max="2" width="24.5" style="8" customWidth="1"/>
    <col min="3" max="3" width="10.83203125" style="8" customWidth="1"/>
    <col min="4" max="4" width="18.83203125" style="8" customWidth="1"/>
    <col min="5" max="5" width="21.83203125" style="8" customWidth="1"/>
    <col min="6" max="6" width="18" style="8" customWidth="1"/>
    <col min="7" max="7" width="27" style="8" customWidth="1"/>
    <col min="8" max="8" width="23" style="8" customWidth="1"/>
    <col min="9" max="9" width="28.33203125" style="8" customWidth="1"/>
    <col min="10" max="10" width="20.6640625" style="8" customWidth="1"/>
    <col min="11" max="11" width="29" style="8" customWidth="1"/>
    <col min="12" max="12" width="28" style="8" customWidth="1"/>
    <col min="13" max="13" width="25.6640625" style="8" customWidth="1"/>
    <col min="14" max="14" width="21.6640625" style="8" customWidth="1"/>
    <col min="15" max="15" width="25.83203125" style="8" customWidth="1"/>
    <col min="16" max="16" width="28.33203125" style="8" customWidth="1"/>
    <col min="17" max="17" width="12" style="8" customWidth="1"/>
    <col min="18" max="18" width="18.33203125" style="8" customWidth="1"/>
    <col min="19" max="19" width="14.83203125" style="8" customWidth="1"/>
    <col min="20" max="20" width="21" style="8" customWidth="1"/>
    <col min="21" max="21" width="21.5" style="8" customWidth="1"/>
    <col min="22" max="22" width="17.83203125" style="8" customWidth="1"/>
    <col min="23" max="23" width="17.1640625" style="8" customWidth="1"/>
    <col min="24" max="24" width="24.6640625" style="8" customWidth="1"/>
    <col min="25" max="25" width="28.5" style="8" customWidth="1"/>
    <col min="26" max="26" width="12.33203125" style="8" customWidth="1"/>
    <col min="27" max="27" width="22" style="8" customWidth="1"/>
    <col min="28" max="28" width="31.5" style="8" customWidth="1"/>
    <col min="29" max="29" width="14.83203125" style="8" customWidth="1"/>
    <col min="30" max="16384" width="10.83203125" style="8"/>
  </cols>
  <sheetData>
    <row r="1" spans="1:30" ht="21" customHeight="1" x14ac:dyDescent="0.2">
      <c r="A1" s="2" t="s">
        <v>16</v>
      </c>
      <c r="B1" s="3"/>
      <c r="C1" s="2" t="s">
        <v>8</v>
      </c>
      <c r="D1" s="2" t="s">
        <v>9</v>
      </c>
      <c r="E1" s="2" t="s">
        <v>13</v>
      </c>
      <c r="F1" s="3"/>
      <c r="G1" s="3"/>
      <c r="H1" s="3"/>
      <c r="I1" s="2" t="s">
        <v>2</v>
      </c>
      <c r="J1" s="1"/>
      <c r="K1" s="1"/>
      <c r="L1" s="1"/>
      <c r="M1" s="3"/>
      <c r="N1" s="3"/>
      <c r="O1" s="3"/>
      <c r="P1" s="3"/>
      <c r="Q1" s="3"/>
      <c r="R1" s="2" t="s">
        <v>23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1" customHeight="1" x14ac:dyDescent="0.2">
      <c r="A2" s="1" t="s">
        <v>10</v>
      </c>
      <c r="B2" s="1" t="s">
        <v>11</v>
      </c>
      <c r="C2" s="2" t="s">
        <v>12</v>
      </c>
      <c r="D2" s="1" t="s">
        <v>19</v>
      </c>
      <c r="E2" s="4" t="s">
        <v>0</v>
      </c>
      <c r="F2" s="4" t="s">
        <v>14</v>
      </c>
      <c r="G2" s="5" t="s">
        <v>15</v>
      </c>
      <c r="H2" s="5" t="s">
        <v>17</v>
      </c>
      <c r="I2" s="1" t="s">
        <v>5</v>
      </c>
      <c r="J2" s="1" t="s">
        <v>6</v>
      </c>
      <c r="K2" s="1" t="s">
        <v>3</v>
      </c>
      <c r="L2" s="1" t="s">
        <v>4</v>
      </c>
      <c r="M2" s="5" t="s">
        <v>20</v>
      </c>
      <c r="N2" s="5" t="s">
        <v>1</v>
      </c>
      <c r="O2" s="5" t="s">
        <v>21</v>
      </c>
      <c r="P2" s="6" t="s">
        <v>22</v>
      </c>
      <c r="Q2" s="6" t="s">
        <v>29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7" t="s">
        <v>35</v>
      </c>
      <c r="X2" s="1" t="s">
        <v>18</v>
      </c>
      <c r="Y2" s="6" t="s">
        <v>30</v>
      </c>
      <c r="Z2" s="6" t="s">
        <v>31</v>
      </c>
      <c r="AA2" s="5" t="s">
        <v>7</v>
      </c>
      <c r="AB2" s="6" t="s">
        <v>32</v>
      </c>
      <c r="AC2" s="6" t="s">
        <v>33</v>
      </c>
      <c r="AD2" s="3"/>
    </row>
    <row r="3" spans="1:30" ht="21" customHeight="1" x14ac:dyDescent="0.2">
      <c r="A3" s="16">
        <v>512</v>
      </c>
      <c r="B3" s="16">
        <v>67.48</v>
      </c>
      <c r="C3" s="9">
        <v>1</v>
      </c>
      <c r="D3" s="13" t="s">
        <v>34</v>
      </c>
      <c r="E3" s="3">
        <v>1</v>
      </c>
      <c r="F3" s="14">
        <v>3.4</v>
      </c>
      <c r="G3" s="14">
        <v>480.4</v>
      </c>
      <c r="H3" s="14">
        <v>333.4</v>
      </c>
      <c r="I3" s="15">
        <v>260202</v>
      </c>
      <c r="J3" s="15">
        <v>64</v>
      </c>
      <c r="K3" s="15">
        <v>180</v>
      </c>
      <c r="L3" s="15">
        <v>28</v>
      </c>
      <c r="M3" s="3">
        <f>IF(COUNT(J3)=1, J3, " ")</f>
        <v>64</v>
      </c>
      <c r="N3" s="10">
        <f>IF(COUNT(K3,L3)=2, (K3+L3)*0.28, " ")</f>
        <v>58.240000000000009</v>
      </c>
      <c r="O3" s="11">
        <f>IF(COUNT($A$3,$B$3,I3)=3, ($A$3*$A$3-I3)*$B$3/$A$3, " ")</f>
        <v>255.94953125000001</v>
      </c>
      <c r="P3" s="11">
        <f>IF(COUNT(O3,J3)=2, O3/J3, " ")</f>
        <v>3.9992114257812501</v>
      </c>
      <c r="Q3" s="12">
        <f>IF(COUNT(M3,N3,O3)=3,LOG10(M3*N3*O3), " ")</f>
        <v>5.9795556788021109</v>
      </c>
      <c r="R3" s="14">
        <v>340.5</v>
      </c>
      <c r="S3" s="14">
        <v>531.9</v>
      </c>
      <c r="T3" s="14">
        <v>33.4</v>
      </c>
      <c r="U3" s="14">
        <v>107.6</v>
      </c>
      <c r="V3" s="14">
        <v>731.9</v>
      </c>
      <c r="W3" s="11">
        <f>IF(COUNT(S3,V3)=2, S3/V3*100, " ")</f>
        <v>72.673862549528621</v>
      </c>
      <c r="X3" s="14">
        <v>224.5</v>
      </c>
      <c r="Y3" s="11">
        <f>IF(COUNT(S3,X3)=2, S3-X3, " ")</f>
        <v>307.39999999999998</v>
      </c>
      <c r="Z3" s="11">
        <f>IF(COUNT(S3,X3)=2, (S3-X3)/S3*100, " ")</f>
        <v>57.792818198909565</v>
      </c>
      <c r="AA3" s="15">
        <v>3</v>
      </c>
      <c r="AB3" s="11">
        <f>IF(COUNT(S3,AA3)=2, S3/AA3, " ")</f>
        <v>177.29999999999998</v>
      </c>
      <c r="AC3" s="12">
        <f>IF(COUNT(AA3)=1, 1-1/AA3, " ")</f>
        <v>0.66666666666666674</v>
      </c>
      <c r="AD3" s="3"/>
    </row>
    <row r="4" spans="1:30" ht="21" customHeight="1" x14ac:dyDescent="0.2">
      <c r="A4" s="16">
        <v>512</v>
      </c>
      <c r="B4" s="16">
        <v>67.48</v>
      </c>
      <c r="C4" s="9">
        <v>2</v>
      </c>
      <c r="D4" s="13" t="s">
        <v>34</v>
      </c>
      <c r="E4" s="3">
        <v>1</v>
      </c>
      <c r="F4" s="14">
        <v>3.7</v>
      </c>
      <c r="G4" s="14">
        <v>347.6</v>
      </c>
      <c r="H4" s="14">
        <v>280.60000000000002</v>
      </c>
      <c r="I4" s="15">
        <v>260851</v>
      </c>
      <c r="J4" s="15">
        <v>26</v>
      </c>
      <c r="K4" s="15">
        <v>92</v>
      </c>
      <c r="L4" s="15">
        <v>13</v>
      </c>
      <c r="M4" s="3">
        <f t="shared" ref="M4:M22" si="0">IF(COUNT(J4)=1, J4, " ")</f>
        <v>26</v>
      </c>
      <c r="N4" s="10">
        <f t="shared" ref="N4:N22" si="1">IF(COUNT(K4,L4)=2, (K4+L4)*0.28, " ")</f>
        <v>29.400000000000002</v>
      </c>
      <c r="O4" s="11">
        <f t="shared" ref="O4:O22" si="2">IF(COUNT($A$3,$B$3,I4)=3, ($A$3*$A$3-I4)*$B$3/$A$3, " ")</f>
        <v>170.413359375</v>
      </c>
      <c r="P4" s="11">
        <f t="shared" ref="P4:P22" si="3">IF(COUNT(O4,J4)=2, O4/J4, " ")</f>
        <v>6.5543599759615381</v>
      </c>
      <c r="Q4" s="12">
        <f t="shared" ref="Q4:Q22" si="4">IF(COUNT(M4,N4,O4)=3,LOG10(M4*N4*O4), " ")</f>
        <v>5.1148243162046265</v>
      </c>
      <c r="R4" s="14">
        <v>304.89999999999998</v>
      </c>
      <c r="S4" s="14">
        <v>432.8</v>
      </c>
      <c r="T4" s="14">
        <v>32.4</v>
      </c>
      <c r="U4" s="14">
        <v>100.7</v>
      </c>
      <c r="V4" s="14">
        <v>621.1</v>
      </c>
      <c r="W4" s="11">
        <f t="shared" ref="W4:W22" si="5">IF(COUNT(S4,V4)=2, S4/V4*100, " ")</f>
        <v>69.682820801803246</v>
      </c>
      <c r="X4" s="14">
        <v>157.4</v>
      </c>
      <c r="Y4" s="11">
        <f t="shared" ref="Y4:Y22" si="6">IF(COUNT(S4,X4)=2, S4-X4, " ")</f>
        <v>275.39999999999998</v>
      </c>
      <c r="Z4" s="11">
        <f t="shared" ref="Z4:Z22" si="7">IF(COUNT(S4,X4)=2, (S4-X4)/S4*100, " ")</f>
        <v>63.63216266173751</v>
      </c>
      <c r="AA4" s="15">
        <v>2</v>
      </c>
      <c r="AB4" s="11">
        <f t="shared" ref="AB4:AB22" si="8">IF(COUNT(S4,AA4)=2, S4/AA4, " ")</f>
        <v>216.4</v>
      </c>
      <c r="AC4" s="12">
        <f t="shared" ref="AC4:AC22" si="9">IF(COUNT(AA4)=1, 1-1/AA4, " ")</f>
        <v>0.5</v>
      </c>
    </row>
    <row r="5" spans="1:30" ht="21" customHeight="1" x14ac:dyDescent="0.2">
      <c r="A5" s="16">
        <v>512</v>
      </c>
      <c r="B5" s="16">
        <v>67.48</v>
      </c>
      <c r="C5" s="9">
        <v>3</v>
      </c>
      <c r="D5" s="13" t="s">
        <v>34</v>
      </c>
      <c r="E5" s="3">
        <v>1</v>
      </c>
      <c r="F5" s="14">
        <v>2.6</v>
      </c>
      <c r="G5" s="14">
        <v>321.2</v>
      </c>
      <c r="H5" s="14">
        <v>224.7</v>
      </c>
      <c r="I5" s="15">
        <v>260955</v>
      </c>
      <c r="J5" s="15">
        <v>22</v>
      </c>
      <c r="K5" s="15">
        <v>62</v>
      </c>
      <c r="L5" s="15">
        <v>10</v>
      </c>
      <c r="M5" s="3">
        <f t="shared" si="0"/>
        <v>22</v>
      </c>
      <c r="N5" s="10">
        <f t="shared" si="1"/>
        <v>20.160000000000004</v>
      </c>
      <c r="O5" s="11">
        <f t="shared" si="2"/>
        <v>156.706484375</v>
      </c>
      <c r="P5" s="11">
        <f t="shared" si="3"/>
        <v>7.1230220170454546</v>
      </c>
      <c r="Q5" s="12">
        <f t="shared" si="4"/>
        <v>4.8420001761556426</v>
      </c>
      <c r="R5" s="14">
        <v>292.89999999999998</v>
      </c>
      <c r="S5" s="14">
        <v>377</v>
      </c>
      <c r="T5" s="14">
        <v>29.7</v>
      </c>
      <c r="U5" s="14">
        <v>94.3</v>
      </c>
      <c r="V5" s="14">
        <v>580.4</v>
      </c>
      <c r="W5" s="11">
        <f t="shared" si="5"/>
        <v>64.955203308063403</v>
      </c>
      <c r="X5" s="14">
        <v>169.3</v>
      </c>
      <c r="Y5" s="11">
        <f t="shared" si="6"/>
        <v>207.7</v>
      </c>
      <c r="Z5" s="11">
        <f t="shared" si="7"/>
        <v>55.092838196286465</v>
      </c>
      <c r="AA5" s="15">
        <v>1</v>
      </c>
      <c r="AB5" s="11">
        <f t="shared" si="8"/>
        <v>377</v>
      </c>
      <c r="AC5" s="12">
        <f t="shared" si="9"/>
        <v>0</v>
      </c>
    </row>
    <row r="6" spans="1:30" ht="21" customHeight="1" x14ac:dyDescent="0.2">
      <c r="A6" s="16">
        <v>512</v>
      </c>
      <c r="B6" s="16">
        <v>67.48</v>
      </c>
      <c r="C6" s="9">
        <v>4</v>
      </c>
      <c r="D6" s="13" t="s">
        <v>34</v>
      </c>
      <c r="E6" s="3">
        <v>1</v>
      </c>
      <c r="F6" s="14">
        <v>3.5</v>
      </c>
      <c r="G6" s="14">
        <v>342.4</v>
      </c>
      <c r="H6" s="14">
        <v>300</v>
      </c>
      <c r="I6" s="15">
        <v>260945</v>
      </c>
      <c r="J6" s="15">
        <v>24</v>
      </c>
      <c r="K6" s="15">
        <v>58</v>
      </c>
      <c r="L6" s="15">
        <v>8</v>
      </c>
      <c r="M6" s="3">
        <f t="shared" si="0"/>
        <v>24</v>
      </c>
      <c r="N6" s="10">
        <f t="shared" si="1"/>
        <v>18.48</v>
      </c>
      <c r="O6" s="11">
        <f t="shared" si="2"/>
        <v>158.02445312500001</v>
      </c>
      <c r="P6" s="11">
        <f t="shared" si="3"/>
        <v>6.584352213541667</v>
      </c>
      <c r="Q6" s="12">
        <f t="shared" si="4"/>
        <v>4.8456375046357998</v>
      </c>
      <c r="R6" s="14">
        <v>288</v>
      </c>
      <c r="S6" s="14">
        <v>420.6</v>
      </c>
      <c r="T6" s="14">
        <v>38.4</v>
      </c>
      <c r="U6" s="14">
        <v>111.8</v>
      </c>
      <c r="V6" s="14">
        <v>699.6</v>
      </c>
      <c r="W6" s="11">
        <f t="shared" si="5"/>
        <v>60.120068610634647</v>
      </c>
      <c r="X6" s="14">
        <v>138</v>
      </c>
      <c r="Y6" s="11">
        <f t="shared" si="6"/>
        <v>282.60000000000002</v>
      </c>
      <c r="Z6" s="11">
        <f t="shared" si="7"/>
        <v>67.189728958630539</v>
      </c>
      <c r="AA6" s="15">
        <v>6</v>
      </c>
      <c r="AB6" s="11">
        <f t="shared" si="8"/>
        <v>70.100000000000009</v>
      </c>
      <c r="AC6" s="12">
        <f t="shared" si="9"/>
        <v>0.83333333333333337</v>
      </c>
    </row>
    <row r="7" spans="1:30" ht="21" customHeight="1" x14ac:dyDescent="0.2">
      <c r="A7" s="16">
        <v>512</v>
      </c>
      <c r="B7" s="16">
        <v>67.48</v>
      </c>
      <c r="C7" s="9">
        <v>5</v>
      </c>
      <c r="D7" s="13" t="s">
        <v>34</v>
      </c>
      <c r="E7" s="3">
        <v>1</v>
      </c>
      <c r="F7" s="14">
        <v>1.9</v>
      </c>
      <c r="G7" s="9">
        <v>621.9</v>
      </c>
      <c r="H7" s="9">
        <v>315.8</v>
      </c>
      <c r="I7" s="15">
        <v>260165</v>
      </c>
      <c r="J7" s="15">
        <v>118</v>
      </c>
      <c r="K7" s="15">
        <v>88</v>
      </c>
      <c r="L7" s="15">
        <v>15</v>
      </c>
      <c r="M7" s="3">
        <f t="shared" si="0"/>
        <v>118</v>
      </c>
      <c r="N7" s="10">
        <f t="shared" si="1"/>
        <v>28.840000000000003</v>
      </c>
      <c r="O7" s="11">
        <f t="shared" si="2"/>
        <v>260.82601562500003</v>
      </c>
      <c r="P7" s="11">
        <f t="shared" si="3"/>
        <v>2.2103899629237289</v>
      </c>
      <c r="Q7" s="12">
        <f t="shared" si="4"/>
        <v>5.9482281705011699</v>
      </c>
      <c r="R7" s="14">
        <v>615.9</v>
      </c>
      <c r="S7" s="14">
        <v>630.4</v>
      </c>
      <c r="T7" s="14">
        <v>45</v>
      </c>
      <c r="U7" s="14">
        <v>140.6</v>
      </c>
      <c r="V7" s="14">
        <v>1205.5999999999999</v>
      </c>
      <c r="W7" s="11">
        <f t="shared" si="5"/>
        <v>52.289316522893174</v>
      </c>
      <c r="X7" s="14">
        <v>390.6</v>
      </c>
      <c r="Y7" s="11">
        <f t="shared" si="6"/>
        <v>239.79999999999995</v>
      </c>
      <c r="Z7" s="11">
        <f t="shared" si="7"/>
        <v>38.039340101522839</v>
      </c>
      <c r="AA7" s="15">
        <v>24</v>
      </c>
      <c r="AB7" s="11">
        <f t="shared" si="8"/>
        <v>26.266666666666666</v>
      </c>
      <c r="AC7" s="12">
        <f t="shared" si="9"/>
        <v>0.95833333333333337</v>
      </c>
    </row>
    <row r="8" spans="1:30" ht="21" customHeight="1" x14ac:dyDescent="0.2">
      <c r="A8" s="16">
        <v>512</v>
      </c>
      <c r="B8" s="16">
        <v>67.48</v>
      </c>
      <c r="C8" s="9">
        <v>6</v>
      </c>
      <c r="D8" s="13" t="s">
        <v>34</v>
      </c>
      <c r="E8" s="3">
        <v>1</v>
      </c>
      <c r="F8" s="14">
        <v>3.8</v>
      </c>
      <c r="G8" s="14">
        <v>524.5</v>
      </c>
      <c r="H8" s="14">
        <v>258.5</v>
      </c>
      <c r="I8" s="15">
        <v>260336</v>
      </c>
      <c r="J8" s="15">
        <v>102</v>
      </c>
      <c r="K8" s="15">
        <v>133</v>
      </c>
      <c r="L8" s="15">
        <v>18</v>
      </c>
      <c r="M8" s="3">
        <f t="shared" si="0"/>
        <v>102</v>
      </c>
      <c r="N8" s="10">
        <f t="shared" si="1"/>
        <v>42.28</v>
      </c>
      <c r="O8" s="11">
        <f t="shared" si="2"/>
        <v>238.28875000000002</v>
      </c>
      <c r="P8" s="11">
        <f t="shared" si="3"/>
        <v>2.3361642156862747</v>
      </c>
      <c r="Q8" s="12">
        <f t="shared" si="4"/>
        <v>6.0118386894779077</v>
      </c>
      <c r="R8" s="14">
        <v>439.7</v>
      </c>
      <c r="S8" s="14">
        <v>532.70000000000005</v>
      </c>
      <c r="T8" s="14">
        <v>38.5</v>
      </c>
      <c r="U8" s="14">
        <v>119.6</v>
      </c>
      <c r="V8" s="14">
        <v>875.2</v>
      </c>
      <c r="W8" s="11">
        <f t="shared" si="5"/>
        <v>60.866087751371111</v>
      </c>
      <c r="X8" s="14">
        <v>296</v>
      </c>
      <c r="Y8" s="11">
        <f t="shared" si="6"/>
        <v>236.70000000000005</v>
      </c>
      <c r="Z8" s="11">
        <f t="shared" si="7"/>
        <v>44.434015393279523</v>
      </c>
      <c r="AA8" s="15">
        <v>5</v>
      </c>
      <c r="AB8" s="11">
        <f t="shared" si="8"/>
        <v>106.54</v>
      </c>
      <c r="AC8" s="12">
        <f t="shared" si="9"/>
        <v>0.8</v>
      </c>
    </row>
    <row r="9" spans="1:30" ht="21" customHeight="1" x14ac:dyDescent="0.2">
      <c r="A9" s="16">
        <v>512</v>
      </c>
      <c r="B9" s="16">
        <v>67.48</v>
      </c>
      <c r="C9" s="9">
        <v>7</v>
      </c>
      <c r="D9" s="13" t="s">
        <v>34</v>
      </c>
      <c r="E9" s="3">
        <v>1</v>
      </c>
      <c r="F9" s="14">
        <v>3.9</v>
      </c>
      <c r="G9" s="9">
        <v>416.8</v>
      </c>
      <c r="H9" s="14">
        <v>342.1</v>
      </c>
      <c r="I9" s="15">
        <v>260508</v>
      </c>
      <c r="J9" s="15">
        <v>32</v>
      </c>
      <c r="K9" s="15">
        <v>113</v>
      </c>
      <c r="L9" s="15">
        <v>10</v>
      </c>
      <c r="M9" s="3">
        <f t="shared" si="0"/>
        <v>32</v>
      </c>
      <c r="N9" s="10">
        <f t="shared" si="1"/>
        <v>34.440000000000005</v>
      </c>
      <c r="O9" s="11">
        <f t="shared" si="2"/>
        <v>215.61968750000003</v>
      </c>
      <c r="P9" s="11">
        <f t="shared" si="3"/>
        <v>6.7381152343750008</v>
      </c>
      <c r="Q9" s="12">
        <f t="shared" si="4"/>
        <v>5.3759015333780846</v>
      </c>
      <c r="R9" s="14">
        <v>370.1</v>
      </c>
      <c r="S9" s="14">
        <v>493</v>
      </c>
      <c r="T9" s="14">
        <v>40.700000000000003</v>
      </c>
      <c r="U9" s="14">
        <v>116</v>
      </c>
      <c r="V9" s="14">
        <v>784.8</v>
      </c>
      <c r="W9" s="11">
        <f t="shared" si="5"/>
        <v>62.818552497451584</v>
      </c>
      <c r="X9" s="14">
        <v>188.8</v>
      </c>
      <c r="Y9" s="11">
        <f t="shared" si="6"/>
        <v>304.2</v>
      </c>
      <c r="Z9" s="11">
        <f t="shared" si="7"/>
        <v>61.703853955375251</v>
      </c>
      <c r="AA9" s="15">
        <v>2</v>
      </c>
      <c r="AB9" s="11">
        <f t="shared" si="8"/>
        <v>246.5</v>
      </c>
      <c r="AC9" s="12">
        <f t="shared" si="9"/>
        <v>0.5</v>
      </c>
    </row>
    <row r="10" spans="1:30" ht="21" customHeight="1" x14ac:dyDescent="0.2">
      <c r="A10" s="16">
        <v>512</v>
      </c>
      <c r="B10" s="16">
        <v>67.48</v>
      </c>
      <c r="C10" s="9">
        <v>8</v>
      </c>
      <c r="D10" s="13" t="s">
        <v>34</v>
      </c>
      <c r="E10" s="3">
        <v>1</v>
      </c>
      <c r="F10" s="14">
        <v>3.4</v>
      </c>
      <c r="G10" s="14">
        <v>437.2</v>
      </c>
      <c r="H10" s="14">
        <v>358</v>
      </c>
      <c r="I10" s="15">
        <v>260399</v>
      </c>
      <c r="J10" s="15">
        <v>42</v>
      </c>
      <c r="K10" s="15">
        <v>145</v>
      </c>
      <c r="L10" s="15">
        <v>25</v>
      </c>
      <c r="M10" s="3">
        <f t="shared" si="0"/>
        <v>42</v>
      </c>
      <c r="N10" s="10">
        <f t="shared" si="1"/>
        <v>47.6</v>
      </c>
      <c r="O10" s="11">
        <f t="shared" si="2"/>
        <v>229.98554687500001</v>
      </c>
      <c r="P10" s="11">
        <f t="shared" si="3"/>
        <v>5.4758463541666673</v>
      </c>
      <c r="Q10" s="12">
        <f t="shared" si="4"/>
        <v>5.6625567873548492</v>
      </c>
      <c r="R10" s="14">
        <v>301.10000000000002</v>
      </c>
      <c r="S10" s="14">
        <v>595.79999999999995</v>
      </c>
      <c r="T10" s="14">
        <v>37.299999999999997</v>
      </c>
      <c r="U10" s="14">
        <v>111.7</v>
      </c>
      <c r="V10" s="14">
        <v>746.2</v>
      </c>
      <c r="W10" s="11">
        <f t="shared" si="5"/>
        <v>79.844545698204229</v>
      </c>
      <c r="X10" s="14">
        <v>249.5</v>
      </c>
      <c r="Y10" s="11">
        <f t="shared" si="6"/>
        <v>346.29999999999995</v>
      </c>
      <c r="Z10" s="11">
        <f t="shared" si="7"/>
        <v>58.123531386371262</v>
      </c>
      <c r="AA10" s="15">
        <v>1</v>
      </c>
      <c r="AB10" s="11">
        <f t="shared" si="8"/>
        <v>595.79999999999995</v>
      </c>
      <c r="AC10" s="12">
        <f t="shared" si="9"/>
        <v>0</v>
      </c>
    </row>
    <row r="11" spans="1:30" ht="21" customHeight="1" x14ac:dyDescent="0.2">
      <c r="A11" s="16">
        <v>512</v>
      </c>
      <c r="B11" s="16">
        <v>67.48</v>
      </c>
      <c r="C11" s="9">
        <v>9</v>
      </c>
      <c r="D11" s="13" t="s">
        <v>34</v>
      </c>
      <c r="E11" s="3">
        <v>1</v>
      </c>
      <c r="F11" s="9">
        <v>3.6</v>
      </c>
      <c r="G11" s="14">
        <v>454.7</v>
      </c>
      <c r="H11" s="14">
        <v>326.5</v>
      </c>
      <c r="I11" s="15">
        <v>260405</v>
      </c>
      <c r="J11" s="15">
        <v>51</v>
      </c>
      <c r="K11" s="15">
        <v>113</v>
      </c>
      <c r="L11" s="15">
        <v>17</v>
      </c>
      <c r="M11" s="3">
        <f t="shared" si="0"/>
        <v>51</v>
      </c>
      <c r="N11" s="10">
        <f t="shared" si="1"/>
        <v>36.400000000000006</v>
      </c>
      <c r="O11" s="11">
        <f t="shared" si="2"/>
        <v>229.194765625</v>
      </c>
      <c r="P11" s="11">
        <f t="shared" si="3"/>
        <v>4.4940150122549021</v>
      </c>
      <c r="Q11" s="12">
        <f t="shared" si="4"/>
        <v>5.6288762546909616</v>
      </c>
      <c r="R11" s="14">
        <v>399.2</v>
      </c>
      <c r="S11" s="14">
        <v>479.1</v>
      </c>
      <c r="T11" s="14">
        <v>36.6</v>
      </c>
      <c r="U11" s="14">
        <v>108.3</v>
      </c>
      <c r="V11" s="14">
        <v>684.2</v>
      </c>
      <c r="W11" s="11">
        <f t="shared" si="5"/>
        <v>70.023384975153462</v>
      </c>
      <c r="X11" s="14">
        <v>187.6</v>
      </c>
      <c r="Y11" s="11">
        <f t="shared" si="6"/>
        <v>291.5</v>
      </c>
      <c r="Z11" s="11">
        <f t="shared" si="7"/>
        <v>60.843247756209564</v>
      </c>
      <c r="AA11" s="15">
        <v>3</v>
      </c>
      <c r="AB11" s="11">
        <f t="shared" si="8"/>
        <v>159.70000000000002</v>
      </c>
      <c r="AC11" s="12">
        <f t="shared" si="9"/>
        <v>0.66666666666666674</v>
      </c>
    </row>
    <row r="12" spans="1:30" ht="21" customHeight="1" x14ac:dyDescent="0.2">
      <c r="A12" s="16">
        <v>512</v>
      </c>
      <c r="B12" s="16">
        <v>67.48</v>
      </c>
      <c r="C12" s="9">
        <v>10</v>
      </c>
      <c r="D12" s="13" t="s">
        <v>34</v>
      </c>
      <c r="E12" s="3">
        <v>1</v>
      </c>
      <c r="F12" s="9">
        <v>3.2</v>
      </c>
      <c r="G12" s="14">
        <v>429.3</v>
      </c>
      <c r="H12" s="14">
        <v>241</v>
      </c>
      <c r="I12" s="15">
        <v>260619</v>
      </c>
      <c r="J12" s="15">
        <v>41</v>
      </c>
      <c r="K12" s="15">
        <v>105</v>
      </c>
      <c r="L12" s="15">
        <v>22</v>
      </c>
      <c r="M12" s="3">
        <f t="shared" si="0"/>
        <v>41</v>
      </c>
      <c r="N12" s="10">
        <f t="shared" si="1"/>
        <v>35.56</v>
      </c>
      <c r="O12" s="11">
        <f t="shared" si="2"/>
        <v>200.990234375</v>
      </c>
      <c r="P12" s="11">
        <f t="shared" si="3"/>
        <v>4.9022008384146343</v>
      </c>
      <c r="Q12" s="12">
        <f t="shared" si="4"/>
        <v>5.4669205656419733</v>
      </c>
      <c r="R12" s="14">
        <v>375.4</v>
      </c>
      <c r="S12" s="14">
        <v>461.8</v>
      </c>
      <c r="T12" s="14">
        <v>33.5</v>
      </c>
      <c r="U12" s="14">
        <v>105.9</v>
      </c>
      <c r="V12" s="14">
        <v>667.9</v>
      </c>
      <c r="W12" s="11">
        <f t="shared" si="5"/>
        <v>69.142087138793244</v>
      </c>
      <c r="X12" s="14">
        <v>233.9</v>
      </c>
      <c r="Y12" s="11">
        <f t="shared" si="6"/>
        <v>227.9</v>
      </c>
      <c r="Z12" s="11">
        <f t="shared" si="7"/>
        <v>49.350368124729322</v>
      </c>
      <c r="AA12" s="15">
        <v>5</v>
      </c>
      <c r="AB12" s="11">
        <f t="shared" si="8"/>
        <v>92.36</v>
      </c>
      <c r="AC12" s="12">
        <f t="shared" si="9"/>
        <v>0.8</v>
      </c>
    </row>
    <row r="13" spans="1:30" ht="21" customHeight="1" x14ac:dyDescent="0.2">
      <c r="A13" s="16">
        <v>512</v>
      </c>
      <c r="B13" s="16">
        <v>67.48</v>
      </c>
      <c r="C13" s="9">
        <v>11</v>
      </c>
      <c r="D13" s="13" t="s">
        <v>34</v>
      </c>
      <c r="E13" s="3">
        <v>1</v>
      </c>
      <c r="F13" s="9">
        <v>3.4</v>
      </c>
      <c r="G13" s="14">
        <v>457.5</v>
      </c>
      <c r="H13" s="14">
        <v>378.5</v>
      </c>
      <c r="I13" s="15">
        <v>260399</v>
      </c>
      <c r="J13" s="15">
        <v>49</v>
      </c>
      <c r="K13" s="15">
        <v>129</v>
      </c>
      <c r="L13" s="15">
        <v>22</v>
      </c>
      <c r="M13" s="3">
        <f t="shared" si="0"/>
        <v>49</v>
      </c>
      <c r="N13" s="10">
        <f t="shared" si="1"/>
        <v>42.28</v>
      </c>
      <c r="O13" s="11">
        <f t="shared" si="2"/>
        <v>229.98554687500001</v>
      </c>
      <c r="P13" s="11">
        <f t="shared" si="3"/>
        <v>4.6935825892857146</v>
      </c>
      <c r="Q13" s="12">
        <f t="shared" si="4"/>
        <v>5.6780316029003579</v>
      </c>
      <c r="R13" s="14">
        <v>344.1</v>
      </c>
      <c r="S13" s="14">
        <v>591.29999999999995</v>
      </c>
      <c r="T13" s="14">
        <v>46.4</v>
      </c>
      <c r="U13" s="14">
        <v>127.9</v>
      </c>
      <c r="V13" s="14">
        <v>773.2</v>
      </c>
      <c r="W13" s="11">
        <f t="shared" si="5"/>
        <v>76.474392136575261</v>
      </c>
      <c r="X13" s="14">
        <v>239.7</v>
      </c>
      <c r="Y13" s="11">
        <f t="shared" si="6"/>
        <v>351.59999999999997</v>
      </c>
      <c r="Z13" s="11">
        <f t="shared" si="7"/>
        <v>59.462201927955348</v>
      </c>
      <c r="AA13" s="15">
        <v>5</v>
      </c>
      <c r="AB13" s="11">
        <f t="shared" si="8"/>
        <v>118.25999999999999</v>
      </c>
      <c r="AC13" s="12">
        <f t="shared" si="9"/>
        <v>0.8</v>
      </c>
    </row>
    <row r="14" spans="1:30" ht="21" customHeight="1" x14ac:dyDescent="0.2">
      <c r="A14" s="16">
        <v>512</v>
      </c>
      <c r="B14" s="16">
        <v>67.48</v>
      </c>
      <c r="C14" s="9">
        <v>12</v>
      </c>
      <c r="D14" s="13" t="s">
        <v>34</v>
      </c>
      <c r="E14" s="3">
        <v>1</v>
      </c>
      <c r="F14" s="9">
        <v>4.9000000000000004</v>
      </c>
      <c r="G14" s="9">
        <v>444.9</v>
      </c>
      <c r="H14" s="14">
        <v>311.10000000000002</v>
      </c>
      <c r="I14" s="15">
        <v>260521</v>
      </c>
      <c r="J14" s="15">
        <v>78</v>
      </c>
      <c r="K14" s="15">
        <v>143</v>
      </c>
      <c r="L14" s="15">
        <v>25</v>
      </c>
      <c r="M14" s="3">
        <f t="shared" si="0"/>
        <v>78</v>
      </c>
      <c r="N14" s="10">
        <f t="shared" si="1"/>
        <v>47.040000000000006</v>
      </c>
      <c r="O14" s="11">
        <f t="shared" si="2"/>
        <v>213.90632812500002</v>
      </c>
      <c r="P14" s="11">
        <f t="shared" si="3"/>
        <v>2.7423888221153847</v>
      </c>
      <c r="Q14" s="12">
        <f t="shared" si="4"/>
        <v>5.894785548526051</v>
      </c>
      <c r="R14" s="14">
        <v>427.7</v>
      </c>
      <c r="S14" s="14">
        <v>537</v>
      </c>
      <c r="T14" s="14">
        <v>38.299999999999997</v>
      </c>
      <c r="U14" s="14">
        <v>122.5</v>
      </c>
      <c r="V14" s="14">
        <v>934.4</v>
      </c>
      <c r="W14" s="11">
        <f t="shared" si="5"/>
        <v>57.470034246575338</v>
      </c>
      <c r="X14" s="14">
        <v>290.7</v>
      </c>
      <c r="Y14" s="11">
        <f t="shared" si="6"/>
        <v>246.3</v>
      </c>
      <c r="Z14" s="11">
        <f t="shared" si="7"/>
        <v>45.865921787709503</v>
      </c>
      <c r="AA14" s="15">
        <v>12</v>
      </c>
      <c r="AB14" s="11">
        <f t="shared" si="8"/>
        <v>44.75</v>
      </c>
      <c r="AC14" s="12">
        <f t="shared" si="9"/>
        <v>0.91666666666666663</v>
      </c>
    </row>
    <row r="15" spans="1:30" ht="21" customHeight="1" x14ac:dyDescent="0.2">
      <c r="A15" s="16">
        <v>512</v>
      </c>
      <c r="B15" s="16">
        <v>67.48</v>
      </c>
      <c r="C15" s="9">
        <v>13</v>
      </c>
      <c r="D15" s="13" t="s">
        <v>34</v>
      </c>
      <c r="E15" s="3">
        <v>1</v>
      </c>
      <c r="F15" s="14">
        <v>2.6</v>
      </c>
      <c r="G15" s="14">
        <v>483.1</v>
      </c>
      <c r="H15" s="14">
        <v>374.5</v>
      </c>
      <c r="I15" s="15">
        <v>260309</v>
      </c>
      <c r="J15" s="15">
        <v>47</v>
      </c>
      <c r="K15" s="15">
        <v>93</v>
      </c>
      <c r="L15" s="15">
        <v>14</v>
      </c>
      <c r="M15" s="3">
        <f t="shared" si="0"/>
        <v>47</v>
      </c>
      <c r="N15" s="10">
        <f t="shared" si="1"/>
        <v>29.960000000000004</v>
      </c>
      <c r="O15" s="11">
        <f t="shared" si="2"/>
        <v>241.84726562500001</v>
      </c>
      <c r="P15" s="11">
        <f t="shared" si="3"/>
        <v>5.1456865026595748</v>
      </c>
      <c r="Q15" s="12">
        <f t="shared" si="4"/>
        <v>5.5321808484925112</v>
      </c>
      <c r="R15" s="14">
        <v>366.1</v>
      </c>
      <c r="S15" s="14">
        <v>559.79999999999995</v>
      </c>
      <c r="T15" s="14">
        <v>42.8</v>
      </c>
      <c r="U15" s="14">
        <v>158.80000000000001</v>
      </c>
      <c r="V15" s="14">
        <v>799.5</v>
      </c>
      <c r="W15" s="11">
        <f t="shared" si="5"/>
        <v>70.018761726078793</v>
      </c>
      <c r="X15" s="14">
        <v>249.6</v>
      </c>
      <c r="Y15" s="11">
        <f t="shared" si="6"/>
        <v>310.19999999999993</v>
      </c>
      <c r="Z15" s="11">
        <f t="shared" si="7"/>
        <v>55.412647374062161</v>
      </c>
      <c r="AA15" s="15">
        <v>9</v>
      </c>
      <c r="AB15" s="11">
        <f t="shared" si="8"/>
        <v>62.199999999999996</v>
      </c>
      <c r="AC15" s="12">
        <f t="shared" si="9"/>
        <v>0.88888888888888884</v>
      </c>
    </row>
    <row r="16" spans="1:30" ht="21" customHeight="1" x14ac:dyDescent="0.2">
      <c r="A16" s="16">
        <v>512</v>
      </c>
      <c r="B16" s="16">
        <v>67.48</v>
      </c>
      <c r="C16" s="9">
        <v>14</v>
      </c>
      <c r="D16" s="13" t="s">
        <v>34</v>
      </c>
      <c r="E16" s="3">
        <v>1</v>
      </c>
      <c r="F16" s="14">
        <v>3.6</v>
      </c>
      <c r="G16" s="14">
        <v>462.9</v>
      </c>
      <c r="H16" s="14">
        <v>285.10000000000002</v>
      </c>
      <c r="I16" s="15">
        <v>260496</v>
      </c>
      <c r="J16" s="15">
        <v>79</v>
      </c>
      <c r="K16" s="15">
        <v>113</v>
      </c>
      <c r="L16" s="15">
        <v>20</v>
      </c>
      <c r="M16" s="3">
        <f t="shared" si="0"/>
        <v>79</v>
      </c>
      <c r="N16" s="10">
        <f t="shared" si="1"/>
        <v>37.24</v>
      </c>
      <c r="O16" s="11">
        <f t="shared" si="2"/>
        <v>217.20125000000002</v>
      </c>
      <c r="P16" s="11">
        <f t="shared" si="3"/>
        <v>2.7493829113924053</v>
      </c>
      <c r="Q16" s="12">
        <f t="shared" si="4"/>
        <v>5.8054990839021006</v>
      </c>
      <c r="R16" s="14">
        <v>489.6</v>
      </c>
      <c r="S16" s="14">
        <v>502</v>
      </c>
      <c r="T16" s="14">
        <v>38.700000000000003</v>
      </c>
      <c r="U16" s="14">
        <v>130.9</v>
      </c>
      <c r="V16" s="14">
        <v>924.1</v>
      </c>
      <c r="W16" s="11">
        <f t="shared" si="5"/>
        <v>54.323125202900115</v>
      </c>
      <c r="X16" s="14">
        <v>260.2</v>
      </c>
      <c r="Y16" s="11">
        <f t="shared" si="6"/>
        <v>241.8</v>
      </c>
      <c r="Z16" s="11">
        <f t="shared" si="7"/>
        <v>48.167330677290835</v>
      </c>
      <c r="AA16" s="15">
        <v>17</v>
      </c>
      <c r="AB16" s="11">
        <f t="shared" si="8"/>
        <v>29.529411764705884</v>
      </c>
      <c r="AC16" s="12">
        <f t="shared" si="9"/>
        <v>0.94117647058823528</v>
      </c>
    </row>
    <row r="17" spans="1:29" ht="21" customHeight="1" x14ac:dyDescent="0.2">
      <c r="A17" s="16">
        <v>512</v>
      </c>
      <c r="B17" s="16">
        <v>67.48</v>
      </c>
      <c r="C17" s="9">
        <v>15</v>
      </c>
      <c r="D17" s="13" t="s">
        <v>34</v>
      </c>
      <c r="E17" s="3">
        <v>1</v>
      </c>
      <c r="F17" s="14">
        <v>3.4</v>
      </c>
      <c r="G17" s="14">
        <v>409.4</v>
      </c>
      <c r="H17" s="14">
        <v>244.3</v>
      </c>
      <c r="I17" s="15">
        <v>260763</v>
      </c>
      <c r="J17" s="15">
        <v>64</v>
      </c>
      <c r="K17" s="15">
        <v>90</v>
      </c>
      <c r="L17" s="15">
        <v>13</v>
      </c>
      <c r="M17" s="3">
        <f t="shared" si="0"/>
        <v>64</v>
      </c>
      <c r="N17" s="10">
        <f t="shared" si="1"/>
        <v>28.840000000000003</v>
      </c>
      <c r="O17" s="11">
        <f t="shared" si="2"/>
        <v>182.01148437500001</v>
      </c>
      <c r="P17" s="11">
        <f t="shared" si="3"/>
        <v>2.8439294433593751</v>
      </c>
      <c r="Q17" s="12">
        <f t="shared" si="4"/>
        <v>5.526274021551167</v>
      </c>
      <c r="R17" s="14">
        <v>467.5</v>
      </c>
      <c r="S17" s="14">
        <v>428.3</v>
      </c>
      <c r="T17" s="14">
        <v>42.9</v>
      </c>
      <c r="U17" s="14">
        <v>126.6</v>
      </c>
      <c r="V17" s="14">
        <v>816</v>
      </c>
      <c r="W17" s="11">
        <f t="shared" si="5"/>
        <v>52.48774509803922</v>
      </c>
      <c r="X17" s="14">
        <v>220.6</v>
      </c>
      <c r="Y17" s="11">
        <f t="shared" si="6"/>
        <v>207.70000000000002</v>
      </c>
      <c r="Z17" s="11">
        <f t="shared" si="7"/>
        <v>48.494046229278545</v>
      </c>
      <c r="AA17" s="15">
        <v>17</v>
      </c>
      <c r="AB17" s="11">
        <f t="shared" si="8"/>
        <v>25.194117647058825</v>
      </c>
      <c r="AC17" s="12">
        <f t="shared" si="9"/>
        <v>0.94117647058823528</v>
      </c>
    </row>
    <row r="18" spans="1:29" ht="21" customHeight="1" x14ac:dyDescent="0.2">
      <c r="A18" s="16">
        <v>512</v>
      </c>
      <c r="B18" s="16">
        <v>67.48</v>
      </c>
      <c r="C18" s="9">
        <v>16</v>
      </c>
      <c r="D18" s="13" t="s">
        <v>34</v>
      </c>
      <c r="E18" s="3">
        <v>1</v>
      </c>
      <c r="F18" s="14">
        <v>2.6</v>
      </c>
      <c r="G18" s="14">
        <v>496.7</v>
      </c>
      <c r="H18" s="14">
        <v>329.2</v>
      </c>
      <c r="I18" s="15">
        <v>260457</v>
      </c>
      <c r="J18" s="15">
        <v>55</v>
      </c>
      <c r="K18" s="15">
        <v>81</v>
      </c>
      <c r="L18" s="15">
        <v>17</v>
      </c>
      <c r="M18" s="3">
        <f t="shared" si="0"/>
        <v>55</v>
      </c>
      <c r="N18" s="10">
        <f t="shared" si="1"/>
        <v>27.44</v>
      </c>
      <c r="O18" s="11">
        <f t="shared" si="2"/>
        <v>222.34132812500002</v>
      </c>
      <c r="P18" s="11">
        <f t="shared" si="3"/>
        <v>4.042569602272728</v>
      </c>
      <c r="Q18" s="12">
        <f t="shared" si="4"/>
        <v>5.5257669920593404</v>
      </c>
      <c r="R18" s="14">
        <v>435.9</v>
      </c>
      <c r="S18" s="14">
        <v>485.3</v>
      </c>
      <c r="T18" s="14">
        <v>43.3</v>
      </c>
      <c r="U18" s="14">
        <v>125.5</v>
      </c>
      <c r="V18" s="14">
        <v>856.6</v>
      </c>
      <c r="W18" s="11">
        <f t="shared" si="5"/>
        <v>56.654214335745969</v>
      </c>
      <c r="X18" s="14">
        <v>234.7</v>
      </c>
      <c r="Y18" s="11">
        <f t="shared" si="6"/>
        <v>250.60000000000002</v>
      </c>
      <c r="Z18" s="11">
        <f t="shared" si="7"/>
        <v>51.638161961673191</v>
      </c>
      <c r="AA18" s="15">
        <v>3</v>
      </c>
      <c r="AB18" s="11">
        <f t="shared" si="8"/>
        <v>161.76666666666668</v>
      </c>
      <c r="AC18" s="12">
        <f t="shared" si="9"/>
        <v>0.66666666666666674</v>
      </c>
    </row>
    <row r="19" spans="1:29" ht="21" customHeight="1" x14ac:dyDescent="0.2">
      <c r="A19" s="16">
        <v>512</v>
      </c>
      <c r="B19" s="16">
        <v>67.48</v>
      </c>
      <c r="C19" s="9">
        <v>17</v>
      </c>
      <c r="D19" s="13" t="s">
        <v>34</v>
      </c>
      <c r="E19" s="3">
        <v>1</v>
      </c>
      <c r="F19" s="14">
        <v>3.5</v>
      </c>
      <c r="G19" s="14">
        <v>470.8</v>
      </c>
      <c r="H19" s="14">
        <v>359.3</v>
      </c>
      <c r="I19" s="15">
        <v>260331</v>
      </c>
      <c r="J19" s="15">
        <v>40</v>
      </c>
      <c r="K19" s="15">
        <v>125</v>
      </c>
      <c r="L19" s="15">
        <v>21</v>
      </c>
      <c r="M19" s="3">
        <f t="shared" si="0"/>
        <v>40</v>
      </c>
      <c r="N19" s="10">
        <f t="shared" si="1"/>
        <v>40.880000000000003</v>
      </c>
      <c r="O19" s="11">
        <f t="shared" si="2"/>
        <v>238.94773437500001</v>
      </c>
      <c r="P19" s="11">
        <f t="shared" si="3"/>
        <v>5.9736933593749999</v>
      </c>
      <c r="Q19" s="12">
        <f t="shared" si="4"/>
        <v>5.5918737954913844</v>
      </c>
      <c r="R19" s="14">
        <v>453.9</v>
      </c>
      <c r="S19" s="14">
        <v>538.20000000000005</v>
      </c>
      <c r="T19" s="14">
        <v>37.700000000000003</v>
      </c>
      <c r="U19" s="14">
        <v>116.1</v>
      </c>
      <c r="V19" s="14">
        <v>885.5</v>
      </c>
      <c r="W19" s="11">
        <f t="shared" si="5"/>
        <v>60.779220779220786</v>
      </c>
      <c r="X19" s="14">
        <v>208.2</v>
      </c>
      <c r="Y19" s="11">
        <f t="shared" si="6"/>
        <v>330.00000000000006</v>
      </c>
      <c r="Z19" s="11">
        <f t="shared" si="7"/>
        <v>61.315496098104795</v>
      </c>
      <c r="AA19" s="15">
        <v>3</v>
      </c>
      <c r="AB19" s="11">
        <f t="shared" si="8"/>
        <v>179.4</v>
      </c>
      <c r="AC19" s="12">
        <f t="shared" si="9"/>
        <v>0.66666666666666674</v>
      </c>
    </row>
    <row r="20" spans="1:29" ht="21" customHeight="1" x14ac:dyDescent="0.2">
      <c r="A20" s="16">
        <v>512</v>
      </c>
      <c r="B20" s="16">
        <v>67.48</v>
      </c>
      <c r="C20" s="9">
        <v>18</v>
      </c>
      <c r="D20" s="13" t="s">
        <v>34</v>
      </c>
      <c r="E20" s="3">
        <v>1</v>
      </c>
      <c r="F20" s="14">
        <v>2.2000000000000002</v>
      </c>
      <c r="G20" s="14">
        <v>555.79999999999995</v>
      </c>
      <c r="H20" s="14">
        <v>371.5</v>
      </c>
      <c r="I20" s="15">
        <v>260164</v>
      </c>
      <c r="J20" s="15">
        <v>70</v>
      </c>
      <c r="K20" s="15">
        <v>121</v>
      </c>
      <c r="L20" s="15">
        <v>20</v>
      </c>
      <c r="M20" s="3">
        <f t="shared" si="0"/>
        <v>70</v>
      </c>
      <c r="N20" s="10">
        <f t="shared" si="1"/>
        <v>39.480000000000004</v>
      </c>
      <c r="O20" s="11">
        <f t="shared" si="2"/>
        <v>260.95781249999999</v>
      </c>
      <c r="P20" s="11">
        <f t="shared" si="3"/>
        <v>3.7279687500000001</v>
      </c>
      <c r="Q20" s="12">
        <f t="shared" si="4"/>
        <v>5.8580454872146444</v>
      </c>
      <c r="R20" s="14">
        <v>599</v>
      </c>
      <c r="S20" s="14">
        <v>488</v>
      </c>
      <c r="T20" s="14">
        <v>45.9</v>
      </c>
      <c r="U20" s="14">
        <v>152.4</v>
      </c>
      <c r="V20" s="14">
        <v>984.9</v>
      </c>
      <c r="W20" s="11">
        <f t="shared" si="5"/>
        <v>49.548177479947206</v>
      </c>
      <c r="X20" s="14">
        <v>164.9</v>
      </c>
      <c r="Y20" s="11">
        <f t="shared" si="6"/>
        <v>323.10000000000002</v>
      </c>
      <c r="Z20" s="11">
        <f t="shared" si="7"/>
        <v>66.209016393442639</v>
      </c>
      <c r="AA20" s="15">
        <v>14</v>
      </c>
      <c r="AB20" s="11">
        <f t="shared" si="8"/>
        <v>34.857142857142854</v>
      </c>
      <c r="AC20" s="12">
        <f t="shared" si="9"/>
        <v>0.9285714285714286</v>
      </c>
    </row>
    <row r="21" spans="1:29" ht="21" customHeight="1" x14ac:dyDescent="0.2">
      <c r="A21" s="16">
        <v>512</v>
      </c>
      <c r="B21" s="16">
        <v>67.48</v>
      </c>
      <c r="C21" s="9">
        <v>19</v>
      </c>
      <c r="D21" s="13" t="s">
        <v>34</v>
      </c>
      <c r="E21" s="3">
        <v>1</v>
      </c>
      <c r="F21" s="14">
        <v>3.3</v>
      </c>
      <c r="G21" s="14">
        <v>434.3</v>
      </c>
      <c r="H21" s="14">
        <v>270.8</v>
      </c>
      <c r="I21" s="15">
        <v>260673</v>
      </c>
      <c r="J21" s="15">
        <v>50</v>
      </c>
      <c r="K21" s="15">
        <v>76</v>
      </c>
      <c r="L21" s="15">
        <v>11</v>
      </c>
      <c r="M21" s="3">
        <f t="shared" si="0"/>
        <v>50</v>
      </c>
      <c r="N21" s="10">
        <f t="shared" si="1"/>
        <v>24.360000000000003</v>
      </c>
      <c r="O21" s="11">
        <f t="shared" si="2"/>
        <v>193.873203125</v>
      </c>
      <c r="P21" s="11">
        <f t="shared" si="3"/>
        <v>3.8774640625000001</v>
      </c>
      <c r="Q21" s="12">
        <f t="shared" si="4"/>
        <v>5.3731650739656436</v>
      </c>
      <c r="R21" s="14">
        <v>430.3</v>
      </c>
      <c r="S21" s="14">
        <v>488.9</v>
      </c>
      <c r="T21" s="14">
        <v>40.5</v>
      </c>
      <c r="U21" s="14">
        <v>116</v>
      </c>
      <c r="V21" s="14">
        <v>764.9</v>
      </c>
      <c r="W21" s="11">
        <f t="shared" si="5"/>
        <v>63.916851876062232</v>
      </c>
      <c r="X21" s="14">
        <v>230</v>
      </c>
      <c r="Y21" s="11">
        <f t="shared" si="6"/>
        <v>258.89999999999998</v>
      </c>
      <c r="Z21" s="11">
        <f t="shared" si="7"/>
        <v>52.955614645121699</v>
      </c>
      <c r="AA21" s="15">
        <v>6</v>
      </c>
      <c r="AB21" s="11">
        <f t="shared" si="8"/>
        <v>81.483333333333334</v>
      </c>
      <c r="AC21" s="12">
        <f t="shared" si="9"/>
        <v>0.83333333333333337</v>
      </c>
    </row>
    <row r="22" spans="1:29" ht="21" customHeight="1" x14ac:dyDescent="0.2">
      <c r="A22" s="16">
        <v>512</v>
      </c>
      <c r="B22" s="16">
        <v>67.48</v>
      </c>
      <c r="C22" s="9">
        <v>20</v>
      </c>
      <c r="D22" s="13" t="s">
        <v>34</v>
      </c>
      <c r="E22" s="3">
        <v>1</v>
      </c>
      <c r="F22" s="14">
        <v>2.6</v>
      </c>
      <c r="G22" s="14">
        <v>457.3</v>
      </c>
      <c r="H22" s="14">
        <v>331.8</v>
      </c>
      <c r="I22" s="15">
        <v>260287</v>
      </c>
      <c r="J22" s="15">
        <v>41</v>
      </c>
      <c r="K22" s="15">
        <v>134</v>
      </c>
      <c r="L22" s="15">
        <v>28</v>
      </c>
      <c r="M22" s="3">
        <f t="shared" si="0"/>
        <v>41</v>
      </c>
      <c r="N22" s="10">
        <f t="shared" si="1"/>
        <v>45.360000000000007</v>
      </c>
      <c r="O22" s="11">
        <f t="shared" si="2"/>
        <v>244.746796875</v>
      </c>
      <c r="P22" s="11">
        <f t="shared" si="3"/>
        <v>5.9694340701219515</v>
      </c>
      <c r="Q22" s="12">
        <f t="shared" si="4"/>
        <v>5.6581739192856233</v>
      </c>
      <c r="R22" s="14">
        <v>357.8</v>
      </c>
      <c r="S22" s="14">
        <v>514.9</v>
      </c>
      <c r="T22" s="14">
        <v>37.1</v>
      </c>
      <c r="U22" s="14">
        <v>112.1</v>
      </c>
      <c r="V22" s="14">
        <v>694.2</v>
      </c>
      <c r="W22" s="11">
        <f t="shared" si="5"/>
        <v>74.171708441371351</v>
      </c>
      <c r="X22" s="14">
        <v>190.2</v>
      </c>
      <c r="Y22" s="11">
        <f t="shared" si="6"/>
        <v>324.7</v>
      </c>
      <c r="Z22" s="11">
        <f t="shared" si="7"/>
        <v>63.060788502621868</v>
      </c>
      <c r="AA22" s="15">
        <v>1</v>
      </c>
      <c r="AB22" s="11">
        <f t="shared" si="8"/>
        <v>514.9</v>
      </c>
      <c r="AC22" s="12">
        <f t="shared" si="9"/>
        <v>0</v>
      </c>
    </row>
    <row r="23" spans="1:29" ht="21" customHeight="1" x14ac:dyDescent="0.2">
      <c r="C23"/>
      <c r="D23" s="3"/>
      <c r="E23" s="3"/>
      <c r="F23" s="3"/>
      <c r="G23" s="3"/>
      <c r="H23" s="3"/>
      <c r="I23" s="3"/>
      <c r="J23" s="3"/>
      <c r="K23" s="3"/>
      <c r="L23" s="3"/>
      <c r="M23"/>
      <c r="N23"/>
      <c r="O23"/>
      <c r="P23"/>
      <c r="Q23"/>
      <c r="R23" s="3"/>
      <c r="S23" s="3"/>
      <c r="T23" s="3"/>
      <c r="U23" s="3"/>
      <c r="V23" s="3"/>
      <c r="W23"/>
      <c r="X23"/>
      <c r="Y23"/>
      <c r="Z23"/>
      <c r="AA23"/>
      <c r="AB23"/>
      <c r="AC23"/>
    </row>
    <row r="24" spans="1:29" ht="21" customHeight="1" x14ac:dyDescent="0.2">
      <c r="C24"/>
      <c r="D24" s="3"/>
      <c r="E24" s="3"/>
      <c r="F24" s="3"/>
      <c r="G24" s="3"/>
      <c r="H24" s="3"/>
      <c r="I24" s="3"/>
      <c r="J24" s="3"/>
      <c r="K24" s="3"/>
      <c r="L24" s="3"/>
      <c r="M24"/>
      <c r="N24"/>
      <c r="O24"/>
      <c r="P24"/>
      <c r="Q24"/>
      <c r="R24" s="3"/>
      <c r="S24" s="3"/>
      <c r="T24" s="3"/>
      <c r="U24" s="3"/>
      <c r="V24" s="3"/>
      <c r="W24"/>
      <c r="X24"/>
      <c r="Y24"/>
      <c r="Z24"/>
      <c r="AA24"/>
      <c r="AB24"/>
      <c r="AC24"/>
    </row>
    <row r="25" spans="1:29" ht="21" customHeight="1" x14ac:dyDescent="0.2">
      <c r="C25"/>
      <c r="D25" s="3"/>
      <c r="E25" s="3"/>
      <c r="F25" s="3"/>
      <c r="G25" s="3"/>
      <c r="H25" s="3"/>
      <c r="I25" s="3"/>
      <c r="J25" s="3"/>
      <c r="K25" s="3"/>
      <c r="L25" s="3"/>
      <c r="M25"/>
      <c r="N25"/>
      <c r="O25"/>
      <c r="P25"/>
      <c r="Q25"/>
      <c r="R25" s="3"/>
      <c r="S25" s="3"/>
      <c r="T25" s="3"/>
      <c r="U25" s="3"/>
      <c r="V25" s="3"/>
      <c r="W25"/>
      <c r="X25"/>
      <c r="Y25"/>
      <c r="Z25"/>
      <c r="AA25"/>
      <c r="AB25"/>
      <c r="AC25"/>
    </row>
    <row r="26" spans="1:29" ht="21" customHeight="1" x14ac:dyDescent="0.2">
      <c r="C26"/>
      <c r="D26" s="3"/>
      <c r="E26" s="3"/>
      <c r="F26" s="3"/>
      <c r="G26" s="3"/>
      <c r="H26" s="3"/>
      <c r="I26" s="3"/>
      <c r="J26" s="3"/>
      <c r="K26" s="3"/>
      <c r="L26" s="3"/>
      <c r="M26"/>
      <c r="N26"/>
      <c r="O26"/>
      <c r="P26"/>
      <c r="Q26"/>
      <c r="R26" s="3"/>
      <c r="S26" s="3"/>
      <c r="T26" s="3"/>
      <c r="U26" s="3"/>
      <c r="V26" s="3"/>
      <c r="W26"/>
      <c r="X26"/>
      <c r="Y26"/>
      <c r="Z26"/>
      <c r="AA26"/>
      <c r="AB26"/>
      <c r="AC26"/>
    </row>
    <row r="27" spans="1:29" ht="21" customHeight="1" x14ac:dyDescent="0.2">
      <c r="C27"/>
      <c r="D27" s="3"/>
      <c r="E27" s="3"/>
      <c r="F27" s="3"/>
      <c r="G27" s="3"/>
      <c r="H27" s="3"/>
      <c r="I27" s="3"/>
      <c r="J27" s="3"/>
      <c r="K27" s="3"/>
      <c r="L27" s="3"/>
      <c r="M27"/>
      <c r="N27"/>
      <c r="O27"/>
      <c r="P27"/>
      <c r="Q27"/>
      <c r="R27" s="3"/>
      <c r="S27" s="3"/>
      <c r="T27" s="3"/>
      <c r="U27" s="3"/>
      <c r="V27" s="3"/>
      <c r="W27"/>
      <c r="X27"/>
      <c r="Y27"/>
      <c r="Z27"/>
      <c r="AA27"/>
      <c r="AB27"/>
      <c r="AC27"/>
    </row>
    <row r="28" spans="1:29" ht="21" customHeight="1" x14ac:dyDescent="0.2">
      <c r="C28"/>
      <c r="D28" s="3"/>
      <c r="E28" s="3"/>
      <c r="F28" s="3"/>
      <c r="G28" s="3"/>
      <c r="H28" s="3"/>
      <c r="I28" s="3"/>
      <c r="J28" s="3"/>
      <c r="K28" s="3"/>
      <c r="L28" s="3"/>
      <c r="M28"/>
      <c r="N28"/>
      <c r="O28"/>
      <c r="P28"/>
      <c r="Q28"/>
      <c r="R28" s="3"/>
      <c r="S28" s="3"/>
      <c r="T28" s="3"/>
      <c r="U28" s="3"/>
      <c r="V28" s="3"/>
      <c r="W28"/>
      <c r="X28"/>
      <c r="Y28"/>
      <c r="Z28"/>
      <c r="AA28"/>
      <c r="AB28"/>
      <c r="AC28"/>
    </row>
    <row r="29" spans="1:29" ht="21" customHeight="1" x14ac:dyDescent="0.2">
      <c r="C29"/>
      <c r="D29" s="3"/>
      <c r="E29" s="3"/>
      <c r="F29" s="3"/>
      <c r="G29" s="3"/>
      <c r="H29" s="3"/>
      <c r="I29" s="3"/>
      <c r="J29" s="3"/>
      <c r="K29" s="3"/>
      <c r="L29" s="3"/>
      <c r="M29"/>
      <c r="N29"/>
      <c r="O29"/>
      <c r="P29"/>
      <c r="Q29"/>
      <c r="R29" s="3"/>
      <c r="S29" s="3"/>
      <c r="T29" s="3"/>
      <c r="U29" s="3"/>
      <c r="V29" s="3"/>
      <c r="W29"/>
      <c r="X29"/>
      <c r="Y29"/>
      <c r="Z29"/>
      <c r="AA29"/>
      <c r="AB29"/>
      <c r="AC29"/>
    </row>
    <row r="30" spans="1:29" ht="21" customHeight="1" x14ac:dyDescent="0.2">
      <c r="C30"/>
      <c r="D30" s="3"/>
      <c r="E30" s="3"/>
      <c r="F30" s="3"/>
      <c r="G30" s="3"/>
      <c r="H30" s="3"/>
      <c r="I30" s="3"/>
      <c r="J30" s="3"/>
      <c r="K30" s="3"/>
      <c r="L30" s="3"/>
      <c r="M30"/>
      <c r="N30"/>
      <c r="O30"/>
      <c r="P30"/>
      <c r="Q30"/>
      <c r="R30" s="3"/>
      <c r="S30" s="3"/>
      <c r="T30" s="3"/>
      <c r="U30" s="3"/>
      <c r="V30" s="3"/>
      <c r="W30"/>
      <c r="X30"/>
      <c r="Y30"/>
      <c r="Z30"/>
      <c r="AA30"/>
      <c r="AB30"/>
      <c r="AC30"/>
    </row>
    <row r="31" spans="1:29" ht="21" customHeight="1" x14ac:dyDescent="0.2">
      <c r="C31"/>
      <c r="D31" s="3"/>
      <c r="E31" s="3"/>
      <c r="F31" s="3"/>
      <c r="G31" s="3"/>
      <c r="H31" s="3"/>
      <c r="I31" s="3"/>
      <c r="J31" s="3"/>
      <c r="K31" s="3"/>
      <c r="L31" s="3"/>
      <c r="M31"/>
      <c r="N31"/>
      <c r="O31"/>
      <c r="P31"/>
      <c r="Q31"/>
      <c r="R31" s="3"/>
      <c r="S31" s="3"/>
      <c r="T31" s="3"/>
      <c r="U31" s="3"/>
      <c r="V31" s="3"/>
      <c r="W31"/>
      <c r="X31"/>
      <c r="Y31"/>
      <c r="Z31"/>
      <c r="AA31"/>
      <c r="AB31"/>
      <c r="AC31"/>
    </row>
    <row r="32" spans="1:29" ht="21" customHeight="1" x14ac:dyDescent="0.2">
      <c r="C32"/>
      <c r="D32" s="3"/>
      <c r="E32" s="3"/>
      <c r="F32" s="3"/>
      <c r="G32" s="3"/>
      <c r="H32" s="3"/>
      <c r="I32" s="3"/>
      <c r="J32" s="3"/>
      <c r="K32" s="3"/>
      <c r="L32" s="3"/>
      <c r="M32"/>
      <c r="N32"/>
      <c r="O32"/>
      <c r="P32"/>
      <c r="Q32"/>
      <c r="R32" s="3"/>
      <c r="S32" s="3"/>
      <c r="T32" s="3"/>
      <c r="U32" s="3"/>
      <c r="V32" s="3"/>
      <c r="W32"/>
      <c r="X32"/>
      <c r="Y32"/>
      <c r="Z32"/>
      <c r="AA32"/>
      <c r="AB32"/>
      <c r="AC32"/>
    </row>
    <row r="33" spans="3:29" ht="21" customHeight="1" x14ac:dyDescent="0.2">
      <c r="C33"/>
      <c r="D33" s="3"/>
      <c r="E33" s="3"/>
      <c r="F33" s="3"/>
      <c r="G33" s="3"/>
      <c r="H33" s="3"/>
      <c r="I33" s="3"/>
      <c r="J33" s="3"/>
      <c r="K33" s="3"/>
      <c r="L33" s="3"/>
      <c r="M33"/>
      <c r="N33"/>
      <c r="O33"/>
      <c r="P33"/>
      <c r="Q33"/>
      <c r="R33" s="3"/>
      <c r="S33" s="3"/>
      <c r="T33" s="3"/>
      <c r="U33" s="3"/>
      <c r="V33" s="3"/>
      <c r="W33"/>
      <c r="X33"/>
      <c r="Y33"/>
      <c r="Z33"/>
      <c r="AA33"/>
      <c r="AB33"/>
      <c r="AC33"/>
    </row>
    <row r="34" spans="3:29" ht="21" customHeight="1" x14ac:dyDescent="0.2">
      <c r="C34"/>
      <c r="D34" s="3"/>
      <c r="E34" s="3"/>
      <c r="F34" s="3"/>
      <c r="G34" s="3"/>
      <c r="H34" s="3"/>
      <c r="I34" s="3"/>
      <c r="J34" s="3"/>
      <c r="K34" s="3"/>
      <c r="L34" s="3"/>
      <c r="M34"/>
      <c r="N34"/>
      <c r="O34"/>
      <c r="P34"/>
      <c r="Q34"/>
      <c r="R34" s="3"/>
      <c r="S34" s="3"/>
      <c r="T34" s="3"/>
      <c r="U34" s="3"/>
      <c r="V34" s="3"/>
      <c r="W34"/>
      <c r="X34"/>
      <c r="Y34"/>
      <c r="Z34"/>
      <c r="AA34"/>
      <c r="AB34"/>
      <c r="AC34"/>
    </row>
    <row r="35" spans="3:29" ht="21" customHeight="1" x14ac:dyDescent="0.2">
      <c r="C35"/>
      <c r="D35" s="3"/>
      <c r="E35" s="3"/>
      <c r="F35" s="3"/>
      <c r="G35" s="3"/>
      <c r="H35" s="3"/>
      <c r="I35" s="3"/>
      <c r="J35" s="3"/>
      <c r="K35" s="3"/>
      <c r="L35" s="3"/>
      <c r="M35"/>
      <c r="N35"/>
      <c r="O35"/>
      <c r="P35"/>
      <c r="Q35"/>
      <c r="R35" s="3"/>
      <c r="S35" s="3"/>
      <c r="T35" s="3"/>
      <c r="U35" s="3"/>
      <c r="V35" s="3"/>
      <c r="W35"/>
      <c r="X35"/>
      <c r="Y35"/>
      <c r="Z35"/>
      <c r="AA35"/>
      <c r="AB35"/>
      <c r="AC35"/>
    </row>
    <row r="36" spans="3:29" ht="21" customHeight="1" x14ac:dyDescent="0.2">
      <c r="C36"/>
      <c r="D36" s="3"/>
      <c r="E36" s="3"/>
      <c r="F36" s="3"/>
      <c r="G36" s="3"/>
      <c r="H36" s="3"/>
      <c r="I36" s="3"/>
      <c r="J36" s="3"/>
      <c r="K36" s="3"/>
      <c r="L36" s="3"/>
      <c r="M36"/>
      <c r="N36"/>
      <c r="O36"/>
      <c r="P36"/>
      <c r="Q36"/>
      <c r="R36" s="3"/>
      <c r="S36" s="3"/>
      <c r="T36" s="3"/>
      <c r="U36" s="3"/>
      <c r="V36" s="3"/>
      <c r="W36"/>
      <c r="X36"/>
      <c r="Y36"/>
      <c r="Z36"/>
      <c r="AA36"/>
      <c r="AB36"/>
      <c r="AC36"/>
    </row>
    <row r="37" spans="3:29" ht="21" customHeight="1" x14ac:dyDescent="0.2">
      <c r="C37"/>
      <c r="D37" s="3"/>
      <c r="E37" s="3"/>
      <c r="F37" s="3"/>
      <c r="G37" s="3"/>
      <c r="H37" s="3"/>
      <c r="I37" s="3"/>
      <c r="J37" s="3"/>
      <c r="K37" s="3"/>
      <c r="L37" s="3"/>
      <c r="M37"/>
      <c r="N37"/>
      <c r="O37"/>
      <c r="P37"/>
      <c r="Q37"/>
      <c r="R37" s="3"/>
      <c r="S37" s="3"/>
      <c r="T37" s="3"/>
      <c r="U37" s="3"/>
      <c r="V37" s="3"/>
      <c r="W37"/>
      <c r="X37"/>
      <c r="Y37"/>
      <c r="Z37"/>
      <c r="AA37"/>
      <c r="AB37"/>
      <c r="AC37"/>
    </row>
    <row r="38" spans="3:29" ht="21" customHeight="1" x14ac:dyDescent="0.2">
      <c r="C38"/>
      <c r="D38" s="3"/>
      <c r="E38" s="3"/>
      <c r="F38" s="3"/>
      <c r="G38" s="3"/>
      <c r="H38" s="3"/>
      <c r="I38" s="3"/>
      <c r="J38" s="3"/>
      <c r="K38" s="3"/>
      <c r="L38" s="3"/>
      <c r="M38"/>
      <c r="N38"/>
      <c r="O38"/>
      <c r="P38"/>
      <c r="Q38"/>
      <c r="R38" s="3"/>
      <c r="S38" s="3"/>
      <c r="T38" s="3"/>
      <c r="U38" s="3"/>
      <c r="V38" s="3"/>
      <c r="W38"/>
      <c r="X38"/>
      <c r="Y38"/>
      <c r="Z38"/>
      <c r="AA38"/>
      <c r="AB38"/>
      <c r="AC38"/>
    </row>
    <row r="39" spans="3:29" ht="21" customHeight="1" x14ac:dyDescent="0.2">
      <c r="C39"/>
      <c r="D39" s="3"/>
      <c r="E39" s="3"/>
      <c r="F39" s="3"/>
      <c r="G39" s="3"/>
      <c r="H39" s="3"/>
      <c r="I39" s="3"/>
      <c r="J39" s="3"/>
      <c r="K39" s="3"/>
      <c r="L39" s="3"/>
      <c r="M39"/>
      <c r="N39"/>
      <c r="O39"/>
      <c r="P39"/>
      <c r="Q39"/>
      <c r="R39" s="3"/>
      <c r="S39" s="3"/>
      <c r="T39" s="3"/>
      <c r="U39" s="3"/>
      <c r="V39" s="3"/>
      <c r="W39"/>
      <c r="X39"/>
      <c r="Y39"/>
      <c r="Z39"/>
      <c r="AA39"/>
      <c r="AB39"/>
      <c r="AC39"/>
    </row>
    <row r="40" spans="3:29" ht="21" customHeight="1" x14ac:dyDescent="0.2">
      <c r="C40"/>
      <c r="D40" s="3"/>
      <c r="E40" s="3"/>
      <c r="F40" s="3"/>
      <c r="G40" s="3"/>
      <c r="H40" s="3"/>
      <c r="I40" s="3"/>
      <c r="J40" s="3"/>
      <c r="K40" s="3"/>
      <c r="L40" s="3"/>
      <c r="M40"/>
      <c r="N40"/>
      <c r="O40"/>
      <c r="P40"/>
      <c r="Q40"/>
      <c r="R40" s="3"/>
      <c r="S40" s="3"/>
      <c r="T40" s="3"/>
      <c r="U40" s="3"/>
      <c r="V40" s="3"/>
      <c r="W40"/>
      <c r="X40"/>
      <c r="Y40"/>
      <c r="Z40"/>
      <c r="AA40"/>
      <c r="AB40"/>
      <c r="AC40"/>
    </row>
    <row r="41" spans="3:29" ht="21" customHeight="1" x14ac:dyDescent="0.2">
      <c r="C41"/>
      <c r="D41" s="3"/>
      <c r="E41" s="3"/>
      <c r="F41" s="3"/>
      <c r="G41" s="3"/>
      <c r="H41" s="3"/>
      <c r="I41" s="3"/>
      <c r="J41" s="3"/>
      <c r="K41" s="3"/>
      <c r="L41" s="3"/>
      <c r="M41"/>
      <c r="N41"/>
      <c r="O41"/>
      <c r="P41"/>
      <c r="Q41"/>
      <c r="R41" s="3"/>
      <c r="S41" s="3"/>
      <c r="T41" s="3"/>
      <c r="U41" s="3"/>
      <c r="V41" s="3"/>
      <c r="W41"/>
      <c r="X41"/>
      <c r="Y41"/>
      <c r="Z41"/>
      <c r="AA41"/>
      <c r="AB41"/>
      <c r="AC41"/>
    </row>
    <row r="42" spans="3:29" ht="21" customHeight="1" x14ac:dyDescent="0.2">
      <c r="C42"/>
      <c r="D42" s="3"/>
      <c r="E42" s="3"/>
      <c r="F42" s="3"/>
      <c r="G42" s="3"/>
      <c r="H42" s="3"/>
      <c r="I42" s="3"/>
      <c r="J42" s="3"/>
      <c r="K42" s="3"/>
      <c r="L42" s="3"/>
      <c r="M42"/>
      <c r="N42"/>
      <c r="O42"/>
      <c r="P42"/>
      <c r="Q42"/>
      <c r="R42" s="3"/>
      <c r="S42" s="3"/>
      <c r="T42" s="3"/>
      <c r="U42" s="3"/>
      <c r="V42" s="3"/>
      <c r="W42"/>
      <c r="X42"/>
      <c r="Y42"/>
      <c r="Z42"/>
      <c r="AA42"/>
      <c r="AB42"/>
      <c r="AC42"/>
    </row>
  </sheetData>
  <sheetProtection sheet="1" objects="1" scenarios="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Jones</dc:creator>
  <cp:lastModifiedBy>JONES Ross</cp:lastModifiedBy>
  <dcterms:created xsi:type="dcterms:W3CDTF">2016-01-22T13:11:47Z</dcterms:created>
  <dcterms:modified xsi:type="dcterms:W3CDTF">2019-09-24T10:29:01Z</dcterms:modified>
</cp:coreProperties>
</file>